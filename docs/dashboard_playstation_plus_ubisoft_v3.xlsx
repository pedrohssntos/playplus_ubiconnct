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E059020A-B6E1-46FC-9299-48352E60E8DF}" xr6:coauthVersionLast="47" xr6:coauthVersionMax="47" xr10:uidLastSave="{00000000-0000-0000-0000-000000000000}"/>
  <bookViews>
    <workbookView xWindow="0" yWindow="0" windowWidth="20730" windowHeight="11760" tabRatio="700" firstSheet="3" xr2:uid="{28DD5B76-0634-4F87-BE60-8BFA7EF2E23B}"/>
  </bookViews>
  <sheets>
    <sheet name="Assets" sheetId="1" r:id="rId1"/>
    <sheet name="Bases" sheetId="2" r:id="rId2"/>
    <sheet name="Cálculos" sheetId="3" r:id="rId3"/>
    <sheet name="Dashboard" sheetId="4" r:id="rId4"/>
  </sheets>
  <definedNames>
    <definedName name="SegmentaçãodeDados_Subscription_Type">#N/A</definedName>
  </definedNames>
  <calcPr calcId="191028"/>
  <pivotCaches>
    <pivotCache cacheId="323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<sst xmlns="http://schemas.openxmlformats.org/spreadsheetml/2006/main" count="2023" uniqueCount="325">
  <si>
    <t>Paleta de Cores</t>
  </si>
  <si>
    <t># 003087</t>
  </si>
  <si>
    <t>PlayStation Color</t>
  </si>
  <si>
    <t># E8E6E9</t>
  </si>
  <si>
    <t>negative zone</t>
  </si>
  <si>
    <t># 0070D1</t>
  </si>
  <si>
    <t># 31A8FF</t>
  </si>
  <si>
    <t>Menus</t>
  </si>
  <si>
    <t># 8FD0FF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</si>
  <si>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</si>
  <si>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</si>
  <si>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</si>
  <si>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</si>
  <si>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</si>
  <si>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</si>
  <si>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</si>
  <si>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</si>
  <si>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</si>
  <si>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PlayStation Plus Season Pass</t>
  </si>
  <si>
    <t>PlayStation Plus Season Pass
Price</t>
  </si>
  <si>
    <t>Ubisoft Connect Season Pass</t>
  </si>
  <si>
    <t>Ubisoft Connect Season Pass Price</t>
  </si>
  <si>
    <t>Coupon Value</t>
  </si>
  <si>
    <t>Total Value</t>
  </si>
  <si>
    <t>João Silva</t>
  </si>
  <si>
    <t>Premium</t>
  </si>
  <si>
    <t>Yes</t>
  </si>
  <si>
    <t>Monthly</t>
  </si>
  <si>
    <t>Maria Oliveira</t>
  </si>
  <si>
    <t>Essential</t>
  </si>
  <si>
    <t>No</t>
  </si>
  <si>
    <t>Annual</t>
  </si>
  <si>
    <t>-</t>
  </si>
  <si>
    <t>Lucas Fernandes</t>
  </si>
  <si>
    <t>Extra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</si>
  <si>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</si>
  <si>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</si>
  <si>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</si>
  <si>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</si>
  <si>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</si>
  <si>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</si>
  <si>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</si>
  <si>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</si>
  <si>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</si>
  <si>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</si>
  <si>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</si>
  <si>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</si>
  <si>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</si>
  <si>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</si>
  <si>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</si>
  <si>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</si>
  <si>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</si>
  <si>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</si>
  <si>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</si>
  <si>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</si>
  <si>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</si>
  <si>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</si>
  <si>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</si>
  <si>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</si>
  <si>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</si>
  <si>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</si>
  <si>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</si>
  <si>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</si>
  <si>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</si>
  <si>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</si>
  <si>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</si>
  <si>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</si>
  <si>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</si>
  <si>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</si>
  <si>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</si>
  <si>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</si>
  <si>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</si>
  <si>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</si>
  <si>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</si>
  <si>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</si>
  <si>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</si>
  <si>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</si>
  <si>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</si>
  <si>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</si>
  <si>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</si>
  <si>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</si>
  <si>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</si>
  <si>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</si>
  <si>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</si>
  <si>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</si>
  <si>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</si>
  <si>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</si>
  <si>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</si>
  <si>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</si>
  <si>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</si>
  <si>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</si>
  <si>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</si>
  <si>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</si>
  <si>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</si>
  <si>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</si>
  <si>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</si>
  <si>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</si>
  <si>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</si>
  <si>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</si>
  <si>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</si>
  <si>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</si>
  <si>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</si>
  <si>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</si>
  <si>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</si>
  <si>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</si>
  <si>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</si>
  <si>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</si>
  <si>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</si>
  <si>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</si>
  <si>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</si>
  <si>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</si>
  <si>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</si>
  <si>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</si>
  <si>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</si>
  <si>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</si>
  <si>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</si>
  <si>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</si>
  <si>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</si>
  <si>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</si>
  <si>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</si>
  <si>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</si>
  <si>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</si>
  <si>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</si>
  <si>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</si>
  <si>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</si>
  <si>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</si>
  <si>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</si>
  <si>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</si>
  <si>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</si>
  <si>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</si>
  <si>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</si>
  <si>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</si>
  <si>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</si>
  <si>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</si>
  <si>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</si>
  <si>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</si>
  <si>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</si>
  <si>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</si>
  <si>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</si>
  <si>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</si>
  <si>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</si>
  <si>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</si>
  <si>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</si>
  <si>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</si>
  <si>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</si>
  <si>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</si>
  <si>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</si>
  <si>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</si>
  <si>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</si>
  <si>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</si>
  <si>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</si>
  <si>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</si>
  <si>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</si>
  <si>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</si>
  <si>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</si>
  <si>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</si>
  <si>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</si>
  <si>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</si>
  <si>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</si>
  <si>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</si>
  <si>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</si>
  <si>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</si>
  <si>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</si>
  <si>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</si>
  <si>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</si>
  <si>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</si>
  <si>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</si>
  <si>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</si>
  <si>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</si>
  <si>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</si>
  <si>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</si>
  <si>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</si>
  <si>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</si>
  <si>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</si>
  <si>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</si>
  <si>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</si>
  <si>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</si>
  <si>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</si>
  <si>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</si>
  <si>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</si>
  <si>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</si>
  <si>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</si>
  <si>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</si>
  <si>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</si>
  <si>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</si>
  <si>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</si>
  <si>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</si>
  <si>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</si>
  <si>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</si>
  <si>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</si>
  <si>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</si>
  <si>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</si>
  <si>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</si>
  <si>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</si>
  <si>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</si>
  <si>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</si>
  <si>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</si>
  <si>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</si>
  <si>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</si>
  <si>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</si>
  <si>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</si>
  <si>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</si>
  <si>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</si>
  <si>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</si>
  <si>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</si>
  <si>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</si>
  <si>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</si>
  <si>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</si>
  <si>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</si>
  <si>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</si>
  <si>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</si>
  <si>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</si>
  <si>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</si>
  <si>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</si>
  <si>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</si>
  <si>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</si>
  <si>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</si>
  <si>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</si>
  <si>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</si>
  <si>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</si>
  <si>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</si>
  <si>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</si>
  <si>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</si>
  <si>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</si>
  <si>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</si>
  <si>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</si>
  <si>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</si>
  <si>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</si>
  <si>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</si>
  <si>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</si>
  <si>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</si>
  <si>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</si>
  <si>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</si>
  <si>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</si>
  <si>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</si>
  <si>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</si>
  <si>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</si>
  <si>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</si>
  <si>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</si>
  <si>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</si>
  <si>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</si>
  <si>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</si>
  <si>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</si>
  <si>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</si>
  <si>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</si>
  <si>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</si>
  <si>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</si>
  <si>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</si>
  <si>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</si>
  <si>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</si>
  <si>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</si>
  <si>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</si>
  <si>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</si>
  <si>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</si>
  <si>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</si>
  <si>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</si>
  <si>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</si>
  <si>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</si>
  <si>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</si>
  <si>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</si>
  <si>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</si>
  <si>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</si>
  <si>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</si>
  <si>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</si>
  <si>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</si>
  <si>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</si>
  <si>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</si>
  <si>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</si>
  <si>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</si>
  <si>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</si>
  <si>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</si>
  <si>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</si>
  <si>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</si>
  <si>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</si>
  <si>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</si>
  <si>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</si>
  <si>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</si>
  <si>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</si>
  <si>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</si>
  <si>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</si>
  <si>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</si>
  <si>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</si>
  <si>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</si>
  <si>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</si>
  <si>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</si>
  <si>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</si>
  <si>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</si>
  <si>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</si>
  <si>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</si>
  <si>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</si>
  <si>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</si>
  <si>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</si>
  <si>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</si>
  <si>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</si>
  <si>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</si>
  <si>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</si>
  <si>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</si>
  <si>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</si>
  <si>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</si>
  <si>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</si>
  <si>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</si>
  <si>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</si>
  <si>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</si>
  <si>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</si>
  <si>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</si>
  <si>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</si>
  <si>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</si>
  <si>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</si>
  <si>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</si>
  <si>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</si>
  <si>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</si>
  <si>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</si>
  <si>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</si>
  <si>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</si>
  <si>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</si>
  <si>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</si>
  <si>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Rótulos de Linha</t>
  </si>
  <si>
    <t>Soma de Total Value</t>
  </si>
  <si>
    <t>Total Geral</t>
  </si>
  <si>
    <t>Pergunta Negócio 3 - Total de Vendas de Assinaturas do PlayStation Plus Season Pass</t>
  </si>
  <si>
    <t>Soma de PlayStation Plus Season Pass</t>
  </si>
  <si>
    <t>Pergunta Negócio 4 - Total de Vendas de Assinaturas do Ubisoft Connect Season Pass</t>
  </si>
  <si>
    <t>Soma de Ubisoft Connect Season Pass Price</t>
  </si>
  <si>
    <t xml:space="preserve"> PLAYSTATION PLUS SUBSCRIPTIONS SALES</t>
  </si>
  <si>
    <t>&gt; BEM VINDO PEDRO 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</si>
</sst>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8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0070D1"/>
      <name val="Segoe UI"/>
      <family val="2"/>
    </font>
    <font>
      <b/>
      <sz val="11"/>
      <color theme="0"/>
      <name val="Segoe UI Black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003087"/>
        <bgColor indexed="64"/>
      </patternFill>
    </fill>
    <fill>
      <patternFill patternType="solid">
        <fgColor rgb="FF0070D1"/>
        <bgColor indexed="64"/>
      </patternFill>
    </fill>
    <fill>
      <patternFill patternType="solid">
        <fgColor rgb="FF31A8FF"/>
        <bgColor indexed="64"/>
      </patternFill>
    </fill>
    <fill>
      <patternFill patternType="solid">
        <fgColor rgb="FF8FD0FF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0070D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7" fillId="4" borderId="0" xfId="0" applyFont="1" applyFill="1" applyAlignment="1">
      <alignment horizontal="center" vertic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0070D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0070D1"/>
      <color rgb="FF8FD0FF"/>
      <color rgb="FFE8E6E9"/>
      <color rgb="FF31A8FF"/>
      <color rgb="FF000000"/>
      <color rgb="FFE0E0E0"/>
      <color rgb="FFEDEDED"/>
      <color rgb="FFF7F8FC"/>
      <color rgb="FF003087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[dashboard_playstation_plus.xlsx]Cálculos!tbl_annual_total</c:name>
    <c:fmtId val="4"/>
  </c:pivotSource>
  <c:chart>
    <c:autoTitleDeleted val="1"/>
    <c:pivotFmts>
      <c:pivotFmt>
        <c:idx val="0"/>
        <c:spPr>
          <a:solidFill>
            <a:srgbClr val="8FD0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8FD0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D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70D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D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70D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Cálculos!$C$12:$C$14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7.png"/><Relationship Id="rId6" Type="http://schemas.openxmlformats.org/officeDocument/2006/relationships/image" Target="../media/image3.png"/><Relationship Id="rId5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0</xdr:col>
      <xdr:colOff>590550</xdr:colOff>
      <xdr:row>21</xdr:row>
      <xdr:rowOff>114300</xdr:rowOff>
    </xdr:from>
    <xdr:to>
      <xdr:col>4</xdr:col>
      <xdr:colOff>104775</xdr:colOff>
      <xdr:row>28</xdr:row>
      <xdr:rowOff>133350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D467934-A436-566F-4C6F-1B227B9E4241}"/>
            </a:ext>
            <a:ext uri="{147F2762-F138-4A5C-976F-8EAC2B608ADB}">
              <a16:predDERef xmlns:a16="http://schemas.microsoft.com/office/drawing/2014/main" pred="{A71E6AF1-ADEE-EB3B-0380-7B4EF5640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0550" y="4267200"/>
          <a:ext cx="1952625" cy="1352550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257175</xdr:colOff>
      <xdr:row>21</xdr:row>
      <xdr:rowOff>57150</xdr:rowOff>
    </xdr:from>
    <xdr:to>
      <xdr:col>7</xdr:col>
      <xdr:colOff>200025</xdr:colOff>
      <xdr:row>28</xdr:row>
      <xdr:rowOff>133350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31B1F12-3C93-A466-6F83-C53FAF0CB0DE}"/>
            </a:ext>
            <a:ext uri="{147F2762-F138-4A5C-976F-8EAC2B608ADB}">
              <a16:predDERef xmlns:a16="http://schemas.microsoft.com/office/drawing/2014/main" pred="{CD467934-A436-566F-4C6F-1B227B9E4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95575" y="4210050"/>
          <a:ext cx="1771650" cy="140970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12</xdr:row>
      <xdr:rowOff>180975</xdr:rowOff>
    </xdr:from>
    <xdr:to>
      <xdr:col>4</xdr:col>
      <xdr:colOff>114300</xdr:colOff>
      <xdr:row>20</xdr:row>
      <xdr:rowOff>57150</xdr:rowOff>
    </xdr:to>
    <xdr:pic>
      <xdr:nvPicPr>
        <xdr:cNvPr id="6" name="Imagem 5" title="logo">
          <a:extLst>
            <a:ext uri="{FF2B5EF4-FFF2-40B4-BE49-F238E27FC236}">
              <a16:creationId xmlns:a16="http://schemas.microsoft.com/office/drawing/2014/main" id="{98A913A3-859B-E67D-F2AB-3C9B0EE2724B}"/>
            </a:ext>
            <a:ext uri="{147F2762-F138-4A5C-976F-8EAC2B608ADB}">
              <a16:predDERef xmlns:a16="http://schemas.microsoft.com/office/drawing/2014/main" pred="{631B1F12-3C93-A466-6F83-C53FAF0CB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5800" y="2609850"/>
          <a:ext cx="1866900" cy="1409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80841</xdr:colOff>
      <xdr:row>0</xdr:row>
      <xdr:rowOff>110000</xdr:rowOff>
    </xdr:from>
    <xdr:ext cx="741621" cy="560000"/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904198" y="110000"/>
          <a:ext cx="741621" cy="56000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4763</xdr:rowOff>
    </xdr:from>
    <xdr:to>
      <xdr:col>9</xdr:col>
      <xdr:colOff>428625</xdr:colOff>
      <xdr:row>15</xdr:row>
      <xdr:rowOff>69057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  <a:ext uri="{147F2762-F138-4A5C-976F-8EAC2B608ADB}">
              <a16:predDERef xmlns:a16="http://schemas.microsoft.com/office/drawing/2014/main" pred="{F85F9B95-DC6C-4715-AA04-6997CB6877D4}"/>
            </a:ext>
          </a:extLst>
        </xdr:cNvPr>
        <xdr:cNvGrpSpPr/>
      </xdr:nvGrpSpPr>
      <xdr:grpSpPr>
        <a:xfrm>
          <a:off x="2090737" y="1366838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0070D1"/>
                </a:solidFill>
                <a:latin typeface="Aptos Narrow"/>
              </a:rPr>
              <a:pPr algn="ctr"/>
              <a:t> R$ 1.350,00 </a:t>
            </a:fld>
            <a:endParaRPr lang="pt-BR" sz="3600" kern="1200">
              <a:solidFill>
                <a:srgbClr val="0070D1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84882" y="1781296"/>
            <a:ext cx="1150000" cy="799858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0070D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PLAYSTATION PLUS SEASON PASS</a:t>
            </a:r>
          </a:p>
        </xdr:txBody>
      </xdr:sp>
    </xdr:grpSp>
    <xdr:clientData/>
  </xdr:twoCellAnchor>
  <xdr:twoCellAnchor>
    <xdr:from>
      <xdr:col>9</xdr:col>
      <xdr:colOff>469106</xdr:colOff>
      <xdr:row>6</xdr:row>
      <xdr:rowOff>4763</xdr:rowOff>
    </xdr:from>
    <xdr:to>
      <xdr:col>17</xdr:col>
      <xdr:colOff>433387</xdr:colOff>
      <xdr:row>14</xdr:row>
      <xdr:rowOff>183357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  <a:ext uri="{147F2762-F138-4A5C-976F-8EAC2B608ADB}">
              <a16:predDERef xmlns:a16="http://schemas.microsoft.com/office/drawing/2014/main" pred="{876A8D1C-2608-8C6C-89D4-BAA9C31F449C}"/>
            </a:ext>
          </a:extLst>
        </xdr:cNvPr>
        <xdr:cNvGrpSpPr/>
      </xdr:nvGrpSpPr>
      <xdr:grpSpPr>
        <a:xfrm>
          <a:off x="6803231" y="1366838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0070D1"/>
                  </a:solidFill>
                  <a:latin typeface="Aptos Narrow"/>
                </a:rPr>
                <a:pPr algn="ctr"/>
                <a:t> R$ 1.800,00 </a:t>
              </a:fld>
              <a:endParaRPr lang="pt-BR" sz="3600" kern="1200">
                <a:solidFill>
                  <a:srgbClr val="0070D1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0070D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UBISOFT CONNECT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45000" y="1855000"/>
            <a:ext cx="898395" cy="714852"/>
            <a:chOff x="3797573" y="5400674"/>
            <a:chExt cx="945679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797573" y="5400674"/>
              <a:ext cx="945679" cy="752476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21431</xdr:colOff>
      <xdr:row>16</xdr:row>
      <xdr:rowOff>73819</xdr:rowOff>
    </xdr:from>
    <xdr:to>
      <xdr:col>19</xdr:col>
      <xdr:colOff>164306</xdr:colOff>
      <xdr:row>33</xdr:row>
      <xdr:rowOff>133350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  <a:ext uri="{147F2762-F138-4A5C-976F-8EAC2B608ADB}">
              <a16:predDERef xmlns:a16="http://schemas.microsoft.com/office/drawing/2014/main" pred="{A41F36A7-AB9C-196A-291F-D90799A3B69C}"/>
            </a:ext>
          </a:extLst>
        </xdr:cNvPr>
        <xdr:cNvGrpSpPr/>
      </xdr:nvGrpSpPr>
      <xdr:grpSpPr>
        <a:xfrm>
          <a:off x="2088356" y="32170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0070D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PLAYSTATION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PLUS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517632</xdr:colOff>
      <xdr:row>0</xdr:row>
      <xdr:rowOff>161925</xdr:rowOff>
    </xdr:from>
    <xdr:to>
      <xdr:col>0</xdr:col>
      <xdr:colOff>1238811</xdr:colOff>
      <xdr:row>3</xdr:row>
      <xdr:rowOff>89808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  <a:ext uri="{147F2762-F138-4A5C-976F-8EAC2B608ADB}">
              <a16:predDERef xmlns:a16="http://schemas.microsoft.com/office/drawing/2014/main" pred="{08565BD9-58FC-B6E1-F4E6-6B45AE50E033}"/>
            </a:ext>
          </a:extLst>
        </xdr:cNvPr>
        <xdr:cNvSpPr/>
      </xdr:nvSpPr>
      <xdr:spPr>
        <a:xfrm>
          <a:off x="517632" y="161925"/>
          <a:ext cx="721179" cy="718458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Premium"/>
        <s v="Essential"/>
        <s v="Extra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PlayStation Plus Season Pass" numFmtId="0">
      <sharedItems/>
    </cacheField>
    <cacheField name="PlayStation Plus Season Pass_x000a_Price" numFmtId="44">
      <sharedItems containsMixedTypes="1" containsNumber="1" containsInteger="1" minValue="30" maxValue="30" count="2">
        <n v="30"/>
        <s v="-"/>
      </sharedItems>
    </cacheField>
    <cacheField name="Ubisoft Connect Season Pass" numFmtId="0">
      <sharedItems/>
    </cacheField>
    <cacheField name="Ubisoft Connec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psplus_seasonpass_total" cacheId="3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PlayStation Plus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3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3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Ubisoft Connec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psplus_seasonpass_total"/>
    <pivotTable tabId="3" name="Tabela dinâmica9"/>
  </pivotTables>
  <data>
    <tabular pivotCacheId="1765956580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PlayStation Plus Season Pass" dataDxfId="5"/>
    <tableColumn id="13" xr3:uid="{978DD0D2-834E-4CE4-A39B-30976086932F}" name="PlayStation Plus Season Pass_x000a_Price" dataDxfId="4" dataCellStyle="Moeda"/>
    <tableColumn id="9" xr3:uid="{6E29F111-C395-4580-9DAD-3407D9E8B1A4}" name="Ubisoft Connect Season Pass" dataDxfId="3"/>
    <tableColumn id="10" xr3:uid="{EF544EAA-7F25-4FD5-A10E-8E62804DB9E3}" name="Ubisoft Connec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0070D1"/>
      </a:accent3>
      <a:accent4>
        <a:srgbClr val="0F9ED5"/>
      </a:accent4>
      <a:accent5>
        <a:srgbClr val="A02B93"/>
      </a:accent5>
      <a:accent6>
        <a:srgbClr val="31A8FF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abSelected="1" zoomScaleNormal="100" workbookViewId="0">
      <selection activeCell="P27" sqref="P27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workbookViewId="0">
      <selection activeCell="E36" sqref="E36"/>
    </sheetView>
  </sheetViews>
  <sheetFormatPr defaultRowHeight="1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>
      <c r="B3" s="20" t="s">
        <v>313</v>
      </c>
      <c r="C3" s="20"/>
      <c r="D3" s="20"/>
      <c r="E3" s="20"/>
      <c r="F3" s="20"/>
    </row>
    <row r="6" spans="2:6">
      <c r="B6" t="s">
        <v>314</v>
      </c>
    </row>
    <row r="7" spans="2:6">
      <c r="B7" t="s">
        <v>315</v>
      </c>
    </row>
    <row r="9" spans="2:6">
      <c r="B9" s="12" t="s">
        <v>17</v>
      </c>
      <c r="C9" t="s">
        <v>27</v>
      </c>
    </row>
    <row r="11" spans="2:6">
      <c r="B11" s="12" t="s">
        <v>316</v>
      </c>
      <c r="C11" t="s">
        <v>317</v>
      </c>
    </row>
    <row r="12" spans="2:6">
      <c r="B12" s="14" t="s">
        <v>30</v>
      </c>
      <c r="C12" s="13">
        <v>2824</v>
      </c>
    </row>
    <row r="13" spans="2:6">
      <c r="B13" s="14" t="s">
        <v>26</v>
      </c>
      <c r="C13" s="13">
        <v>747</v>
      </c>
    </row>
    <row r="14" spans="2:6">
      <c r="B14" s="14" t="s">
        <v>318</v>
      </c>
      <c r="C14" s="13">
        <v>3571</v>
      </c>
    </row>
    <row r="17" spans="2:5">
      <c r="B17" s="14" t="s">
        <v>319</v>
      </c>
    </row>
    <row r="19" spans="2:5">
      <c r="B19" s="12" t="s">
        <v>17</v>
      </c>
      <c r="C19" t="s">
        <v>27</v>
      </c>
    </row>
    <row r="21" spans="2:5">
      <c r="B21" s="12" t="s">
        <v>316</v>
      </c>
      <c r="C21" t="s">
        <v>320</v>
      </c>
    </row>
    <row r="22" spans="2:5">
      <c r="B22" s="14" t="s">
        <v>29</v>
      </c>
      <c r="C22" s="15">
        <v>0</v>
      </c>
    </row>
    <row r="23" spans="2:5">
      <c r="B23" s="14" t="s">
        <v>34</v>
      </c>
      <c r="C23" s="15">
        <v>0</v>
      </c>
    </row>
    <row r="24" spans="2:5">
      <c r="B24" s="14" t="s">
        <v>25</v>
      </c>
      <c r="C24" s="15">
        <v>1350</v>
      </c>
    </row>
    <row r="25" spans="2:5">
      <c r="B25" s="14" t="s">
        <v>318</v>
      </c>
      <c r="C25" s="15">
        <v>1350</v>
      </c>
      <c r="E25" s="17">
        <f>GETPIVOTDATA("PlayStation Plus Season Pass
Price",$B$21)</f>
        <v>1350</v>
      </c>
    </row>
    <row r="28" spans="2:5">
      <c r="B28" s="14" t="s">
        <v>321</v>
      </c>
    </row>
    <row r="30" spans="2:5">
      <c r="B30" s="12" t="s">
        <v>17</v>
      </c>
      <c r="C30" t="s">
        <v>27</v>
      </c>
    </row>
    <row r="32" spans="2:5">
      <c r="B32" s="12" t="s">
        <v>316</v>
      </c>
      <c r="C32" t="s">
        <v>322</v>
      </c>
    </row>
    <row r="33" spans="2:5">
      <c r="B33" s="14" t="s">
        <v>29</v>
      </c>
      <c r="C33" s="13">
        <v>0</v>
      </c>
    </row>
    <row r="34" spans="2:5">
      <c r="B34" s="14" t="s">
        <v>34</v>
      </c>
      <c r="C34" s="13">
        <v>900</v>
      </c>
    </row>
    <row r="35" spans="2:5">
      <c r="B35" s="14" t="s">
        <v>25</v>
      </c>
      <c r="C35" s="13">
        <v>900</v>
      </c>
    </row>
    <row r="36" spans="2:5">
      <c r="B36" s="14" t="s">
        <v>318</v>
      </c>
      <c r="C36" s="13">
        <v>1800</v>
      </c>
      <c r="E36" s="17">
        <f>GETPIVOTDATA("Ubisoft Connect Season Pass Price",$B$32)</f>
        <v>1800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zoomScaleNormal="100" workbookViewId="0">
      <selection activeCell="A22" sqref="A22"/>
    </sheetView>
  </sheetViews>
  <sheetFormatPr defaultRowHeight="1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29.25" customHeight="1">
      <c r="A6" s="21" t="s">
        <v>324</v>
      </c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/>
</file>

<file path=customXml/itemProps2.xml><?xml version="1.0" encoding="utf-8"?>
<ds:datastoreItem xmlns:ds="http://schemas.openxmlformats.org/officeDocument/2006/customXml" ds:itemID="{B26109AA-4A63-4ABA-9238-1315B3F7EEAB}"/>
</file>

<file path=customXml/itemProps3.xml><?xml version="1.0" encoding="utf-8"?>
<ds:datastoreItem xmlns:ds="http://schemas.openxmlformats.org/officeDocument/2006/customXml" ds:itemID="{A6A6278B-0476-46CE-815A-3F41F43711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2026-10-18T06:12:50Z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